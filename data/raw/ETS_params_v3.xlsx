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o\Dropbox\Code\Git\cea_analysis\data\raw\"/>
    </mc:Choice>
  </mc:AlternateContent>
  <xr:revisionPtr revIDLastSave="0" documentId="13_ncr:1_{56910E95-E25D-4F58-A284-46D83D1AC283}" xr6:coauthVersionLast="47" xr6:coauthVersionMax="47" xr10:uidLastSave="{00000000-0000-0000-0000-000000000000}"/>
  <bookViews>
    <workbookView xWindow="-120" yWindow="-120" windowWidth="29040" windowHeight="16440" xr2:uid="{8F1A559D-53C0-514D-A4E3-B267165F2C1B}"/>
  </bookViews>
  <sheets>
    <sheet name="Proportion pulmonary" sheetId="2" r:id="rId1"/>
    <sheet name="Time-based params" sheetId="1" r:id="rId2"/>
    <sheet name="Case fatality rates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4" i="2"/>
</calcChain>
</file>

<file path=xl/sharedStrings.xml><?xml version="1.0" encoding="utf-8"?>
<sst xmlns="http://schemas.openxmlformats.org/spreadsheetml/2006/main" count="133" uniqueCount="56">
  <si>
    <t>Parameter</t>
  </si>
  <si>
    <t>Mean</t>
  </si>
  <si>
    <t>Standard error</t>
  </si>
  <si>
    <t>[0,5)</t>
  </si>
  <si>
    <t>[5,10)</t>
  </si>
  <si>
    <t>[10,15)</t>
  </si>
  <si>
    <t>[15,20)</t>
  </si>
  <si>
    <t>[20,25)</t>
  </si>
  <si>
    <t>[25,30)</t>
  </si>
  <si>
    <t>[30,35)</t>
  </si>
  <si>
    <t>[35,40)</t>
  </si>
  <si>
    <t>[40,45)</t>
  </si>
  <si>
    <t>[45,50)</t>
  </si>
  <si>
    <t>[50,55)</t>
  </si>
  <si>
    <t>[55,60)</t>
  </si>
  <si>
    <t>[60,65)</t>
  </si>
  <si>
    <t>[65,70)</t>
  </si>
  <si>
    <t>[70,75)</t>
  </si>
  <si>
    <t>[75,80)</t>
  </si>
  <si>
    <t>[80,85)</t>
  </si>
  <si>
    <t>[85,90)</t>
  </si>
  <si>
    <t>[90,95)</t>
  </si>
  <si>
    <t>[95,100)</t>
  </si>
  <si>
    <t>[100,105)</t>
  </si>
  <si>
    <t>[105,110)</t>
  </si>
  <si>
    <t>Age Group</t>
  </si>
  <si>
    <t xml:space="preserve">Number pulmonary cases </t>
  </si>
  <si>
    <t>Total cases</t>
  </si>
  <si>
    <t>TB type</t>
  </si>
  <si>
    <t>Pulmonary</t>
  </si>
  <si>
    <t>Number TB-related death</t>
  </si>
  <si>
    <t>Proportion</t>
  </si>
  <si>
    <t>Extra-pulmonary</t>
  </si>
  <si>
    <t>Negative values removed from analysis</t>
  </si>
  <si>
    <t xml:space="preserve">Total </t>
  </si>
  <si>
    <t>Number of pulmonary cases in non-UK born (Bangladeshi, Indian, Pakistani and Sub-Saharan African)</t>
  </si>
  <si>
    <t>Proportion pulmonary</t>
  </si>
  <si>
    <t>Time-based parameters for non-UK-born  (4 eths)</t>
  </si>
  <si>
    <t>Post-mortem diagnoses removed from analysis for symptom onset to treatment start</t>
  </si>
  <si>
    <t>0.012391005048187242</t>
  </si>
  <si>
    <t>0.011363636363636364</t>
  </si>
  <si>
    <t>0.027317073170731707</t>
  </si>
  <si>
    <t>0.024213075060532687</t>
  </si>
  <si>
    <t>0.045584045584045586</t>
  </si>
  <si>
    <t>0.048286604361370715</t>
  </si>
  <si>
    <t>0.11160714285714286</t>
  </si>
  <si>
    <t>0.14864864864864866</t>
  </si>
  <si>
    <t>0.3333333333333333</t>
  </si>
  <si>
    <t>0.015384615384615385</t>
  </si>
  <si>
    <t>0.044715447154471545</t>
  </si>
  <si>
    <t>0.1111111111111111</t>
  </si>
  <si>
    <t>Time delay  from recorded onset  of PTB to treatment start  - 95% cut-off (days)</t>
  </si>
  <si>
    <t>Time delay  from recorded onset  of EPTB to treatment start  - 95% cut-off (days)</t>
  </si>
  <si>
    <t>Duration of TB treatment for those that complete treatment (days)</t>
  </si>
  <si>
    <t>Proportion of those that start TB treatment that die a TB-related death (4 eths, non-UK-born)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</si>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</sst>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quotePrefix="1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'Proportion pulmonary'!$D$4:$D$25</c:f>
              <c:numCache>
                <c:formatCode>General</c:formatCode>
                <c:ptCount val="22"/>
                <c:pt idx="0">
                  <c:v>0.72499999999999998</c:v>
                </c:pt>
                <c:pt idx="1">
                  <c:v>0.60714285714285698</c:v>
                </c:pt>
                <c:pt idx="2">
                  <c:v>0.61343012704174205</c:v>
                </c:pt>
                <c:pt idx="3">
                  <c:v>0.60454280722189802</c:v>
                </c:pt>
                <c:pt idx="4">
                  <c:v>0.53875720691864104</c:v>
                </c:pt>
                <c:pt idx="5">
                  <c:v>0.45038461538461499</c:v>
                </c:pt>
                <c:pt idx="6">
                  <c:v>0.39130434782608697</c:v>
                </c:pt>
                <c:pt idx="7">
                  <c:v>0.381192421345385</c:v>
                </c:pt>
                <c:pt idx="8">
                  <c:v>0.38973105134474301</c:v>
                </c:pt>
                <c:pt idx="9">
                  <c:v>0.39050868486352303</c:v>
                </c:pt>
                <c:pt idx="10">
                  <c:v>0.39800230503265399</c:v>
                </c:pt>
                <c:pt idx="11">
                  <c:v>0.387216303844372</c:v>
                </c:pt>
                <c:pt idx="12">
                  <c:v>0.43280871670702098</c:v>
                </c:pt>
                <c:pt idx="13">
                  <c:v>0.45448227936066699</c:v>
                </c:pt>
                <c:pt idx="14">
                  <c:v>0.51517450682852794</c:v>
                </c:pt>
                <c:pt idx="15">
                  <c:v>0.58061821219715903</c:v>
                </c:pt>
                <c:pt idx="16">
                  <c:v>0.64697802197802201</c:v>
                </c:pt>
                <c:pt idx="17">
                  <c:v>0.67241379310344795</c:v>
                </c:pt>
                <c:pt idx="18">
                  <c:v>0.65</c:v>
                </c:pt>
                <c:pt idx="19">
                  <c:v>0.66666666666666596</c:v>
                </c:pt>
                <c:pt idx="20">
                  <c:v>0.8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46-49C1-BA0F-3BFC35D45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0541680"/>
        <c:axId val="990549840"/>
      </c:lineChart>
      <c:catAx>
        <c:axId val="99054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549840"/>
        <c:crosses val="autoZero"/>
        <c:auto val="1"/>
        <c:lblAlgn val="ctr"/>
        <c:lblOffset val="100"/>
        <c:noMultiLvlLbl val="0"/>
      </c:catAx>
      <c:valAx>
        <c:axId val="99054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541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557212</xdr:colOff>
      <xdr:row>10</xdr:row>
      <xdr:rowOff>80962</xdr:rowOff>
    </xdr:from>
    <xdr:to>
      <xdr:col>11</xdr:col>
      <xdr:colOff>100012</xdr:colOff>
      <xdr:row>24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38A74B-07E6-0DB0-690E-EEB9811DFC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0A3F6-4834-5D4C-A73A-2761A0461E3A}">
  <dimension ref="A1:E27"/>
  <sheetViews>
    <sheetView tabSelected="1" workbookViewId="0">
      <selection activeCell="E14" sqref="E14"/>
    </sheetView>
  </sheetViews>
  <sheetFormatPr defaultColWidth="11" defaultRowHeight="15.75" x14ac:dyDescent="0.25"/>
  <cols>
    <col min="2" max="2" width="23" customWidth="1"/>
    <col min="4" max="4" width="23.5" customWidth="1"/>
  </cols>
  <sheetData>
    <row r="1" spans="1:5" x14ac:dyDescent="0.25">
      <c r="A1" s="2" t="s">
        <v>35</v>
      </c>
    </row>
    <row r="3" spans="1:5" x14ac:dyDescent="0.25">
      <c r="A3" s="4" t="s">
        <v>25</v>
      </c>
      <c r="B3" s="4" t="s">
        <v>26</v>
      </c>
      <c r="C3" s="4" t="s">
        <v>27</v>
      </c>
      <c r="D3" s="4" t="s">
        <v>36</v>
      </c>
      <c r="E3" s="4" t="s">
        <v>55</v>
      </c>
    </row>
    <row r="4" spans="1:5" x14ac:dyDescent="0.25">
      <c r="A4" s="3" t="s">
        <v>3</v>
      </c>
      <c r="B4" s="6">
        <v>58</v>
      </c>
      <c r="C4" s="6">
        <v>80</v>
      </c>
      <c r="D4" s="6">
        <v>0.72499999999999998</v>
      </c>
      <c r="E4">
        <f>SQRT(D4*(1-D4)/C4)</f>
        <v>4.9921813869289643E-2</v>
      </c>
    </row>
    <row r="5" spans="1:5" x14ac:dyDescent="0.25">
      <c r="A5" s="3" t="s">
        <v>4</v>
      </c>
      <c r="B5" s="6">
        <v>136</v>
      </c>
      <c r="C5" s="6">
        <v>224</v>
      </c>
      <c r="D5" s="9">
        <v>0.60714285714285698</v>
      </c>
      <c r="E5">
        <f t="shared" ref="E5:E25" si="0">SQRT(D5*(1-D5)/C5)</f>
        <v>3.2631629605780692E-2</v>
      </c>
    </row>
    <row r="6" spans="1:5" x14ac:dyDescent="0.25">
      <c r="A6" s="3" t="s">
        <v>5</v>
      </c>
      <c r="B6" s="6">
        <v>338</v>
      </c>
      <c r="C6" s="6">
        <v>551</v>
      </c>
      <c r="D6" s="9">
        <v>0.61343012704174205</v>
      </c>
      <c r="E6">
        <f t="shared" si="0"/>
        <v>2.074534939156315E-2</v>
      </c>
    </row>
    <row r="7" spans="1:5" x14ac:dyDescent="0.25">
      <c r="A7" s="3" t="s">
        <v>6</v>
      </c>
      <c r="B7" s="6">
        <v>1038</v>
      </c>
      <c r="C7" s="6">
        <v>1717</v>
      </c>
      <c r="D7" s="9">
        <v>0.60454280722189802</v>
      </c>
      <c r="E7">
        <f t="shared" si="0"/>
        <v>1.1799894411789939E-2</v>
      </c>
    </row>
    <row r="8" spans="1:5" x14ac:dyDescent="0.25">
      <c r="A8" s="3" t="s">
        <v>7</v>
      </c>
      <c r="B8" s="6">
        <v>2523</v>
      </c>
      <c r="C8" s="6">
        <v>4683</v>
      </c>
      <c r="D8" s="9">
        <v>0.53875720691864104</v>
      </c>
      <c r="E8">
        <f t="shared" si="0"/>
        <v>7.2844918905679984E-3</v>
      </c>
    </row>
    <row r="9" spans="1:5" x14ac:dyDescent="0.25">
      <c r="A9" s="3" t="s">
        <v>8</v>
      </c>
      <c r="B9" s="6">
        <v>3513</v>
      </c>
      <c r="C9" s="6">
        <v>7800</v>
      </c>
      <c r="D9" s="9">
        <v>0.45038461538461499</v>
      </c>
      <c r="E9">
        <f t="shared" si="0"/>
        <v>5.6334431063056814E-3</v>
      </c>
    </row>
    <row r="10" spans="1:5" x14ac:dyDescent="0.25">
      <c r="A10" s="3" t="s">
        <v>9</v>
      </c>
      <c r="B10" s="6">
        <v>2889</v>
      </c>
      <c r="C10" s="6">
        <v>7383</v>
      </c>
      <c r="D10" s="6">
        <v>0.39130434782608697</v>
      </c>
      <c r="E10">
        <f t="shared" si="0"/>
        <v>5.6799040898411141E-3</v>
      </c>
    </row>
    <row r="11" spans="1:5" x14ac:dyDescent="0.25">
      <c r="A11" s="3" t="s">
        <v>10</v>
      </c>
      <c r="B11" s="6">
        <v>2193</v>
      </c>
      <c r="C11" s="6">
        <v>5753</v>
      </c>
      <c r="D11" s="6">
        <v>0.381192421345385</v>
      </c>
      <c r="E11">
        <f t="shared" si="0"/>
        <v>6.4032838466872499E-3</v>
      </c>
    </row>
    <row r="12" spans="1:5" x14ac:dyDescent="0.25">
      <c r="A12" s="3" t="s">
        <v>11</v>
      </c>
      <c r="B12" s="6">
        <v>1594</v>
      </c>
      <c r="C12" s="6">
        <v>4090</v>
      </c>
      <c r="D12" s="9">
        <v>0.38973105134474301</v>
      </c>
      <c r="E12">
        <f t="shared" si="0"/>
        <v>7.6257310998650149E-3</v>
      </c>
    </row>
    <row r="13" spans="1:5" x14ac:dyDescent="0.25">
      <c r="A13" s="3" t="s">
        <v>12</v>
      </c>
      <c r="B13" s="6">
        <v>1259</v>
      </c>
      <c r="C13" s="6">
        <v>3224</v>
      </c>
      <c r="D13" s="9">
        <v>0.39050868486352303</v>
      </c>
      <c r="E13">
        <f t="shared" si="0"/>
        <v>8.5921449048697585E-3</v>
      </c>
    </row>
    <row r="14" spans="1:5" x14ac:dyDescent="0.25">
      <c r="A14" s="3" t="s">
        <v>13</v>
      </c>
      <c r="B14" s="6">
        <v>1036</v>
      </c>
      <c r="C14" s="6">
        <v>2603</v>
      </c>
      <c r="D14" s="9">
        <v>0.39800230503265399</v>
      </c>
      <c r="E14">
        <f t="shared" si="0"/>
        <v>9.5940753227718445E-3</v>
      </c>
    </row>
    <row r="15" spans="1:5" x14ac:dyDescent="0.25">
      <c r="A15" s="3" t="s">
        <v>14</v>
      </c>
      <c r="B15" s="6">
        <v>836</v>
      </c>
      <c r="C15" s="6">
        <v>2159</v>
      </c>
      <c r="D15" s="9">
        <v>0.387216303844372</v>
      </c>
      <c r="E15">
        <f t="shared" si="0"/>
        <v>1.0483446840472152E-2</v>
      </c>
    </row>
    <row r="16" spans="1:5" x14ac:dyDescent="0.25">
      <c r="A16" s="3" t="s">
        <v>15</v>
      </c>
      <c r="B16" s="6">
        <v>715</v>
      </c>
      <c r="C16" s="6">
        <v>1652</v>
      </c>
      <c r="D16" s="9">
        <v>0.43280871670702098</v>
      </c>
      <c r="E16">
        <f t="shared" si="0"/>
        <v>1.2190113572732926E-2</v>
      </c>
    </row>
    <row r="17" spans="1:5" x14ac:dyDescent="0.25">
      <c r="A17" s="3" t="s">
        <v>16</v>
      </c>
      <c r="B17" s="6">
        <v>654</v>
      </c>
      <c r="C17" s="6">
        <v>1439</v>
      </c>
      <c r="D17" s="9">
        <v>0.45448227936066699</v>
      </c>
      <c r="E17">
        <f t="shared" si="0"/>
        <v>1.3126003376261726E-2</v>
      </c>
    </row>
    <row r="18" spans="1:5" x14ac:dyDescent="0.25">
      <c r="A18" s="3" t="s">
        <v>17</v>
      </c>
      <c r="B18" s="6">
        <v>679</v>
      </c>
      <c r="C18" s="6">
        <v>1318</v>
      </c>
      <c r="D18" s="9">
        <v>0.51517450682852794</v>
      </c>
      <c r="E18">
        <f t="shared" si="0"/>
        <v>1.3766140598112594E-2</v>
      </c>
    </row>
    <row r="19" spans="1:5" x14ac:dyDescent="0.25">
      <c r="A19" s="3" t="s">
        <v>18</v>
      </c>
      <c r="B19" s="6">
        <v>695</v>
      </c>
      <c r="C19" s="6">
        <v>1197</v>
      </c>
      <c r="D19" s="9">
        <v>0.58061821219715903</v>
      </c>
      <c r="E19">
        <f t="shared" si="0"/>
        <v>1.426274229462385E-2</v>
      </c>
    </row>
    <row r="20" spans="1:5" x14ac:dyDescent="0.25">
      <c r="A20" s="3" t="s">
        <v>19</v>
      </c>
      <c r="B20" s="6">
        <v>471</v>
      </c>
      <c r="C20" s="6">
        <v>728</v>
      </c>
      <c r="D20" s="6">
        <v>0.64697802197802201</v>
      </c>
      <c r="E20">
        <f t="shared" si="0"/>
        <v>1.7712503385321866E-2</v>
      </c>
    </row>
    <row r="21" spans="1:5" x14ac:dyDescent="0.25">
      <c r="A21" s="3" t="s">
        <v>20</v>
      </c>
      <c r="B21" s="6">
        <v>234</v>
      </c>
      <c r="C21" s="6">
        <v>348</v>
      </c>
      <c r="D21" s="9">
        <v>0.67241379310344795</v>
      </c>
      <c r="E21">
        <f t="shared" si="0"/>
        <v>2.5158890704060358E-2</v>
      </c>
    </row>
    <row r="22" spans="1:5" x14ac:dyDescent="0.25">
      <c r="A22" s="3" t="s">
        <v>21</v>
      </c>
      <c r="B22" s="6">
        <v>52</v>
      </c>
      <c r="C22" s="6">
        <v>80</v>
      </c>
      <c r="D22" s="6">
        <v>0.65</v>
      </c>
      <c r="E22">
        <f t="shared" si="0"/>
        <v>5.3326822519253851E-2</v>
      </c>
    </row>
    <row r="23" spans="1:5" x14ac:dyDescent="0.25">
      <c r="A23" s="3" t="s">
        <v>22</v>
      </c>
      <c r="B23" s="6">
        <v>20</v>
      </c>
      <c r="C23" s="6">
        <v>30</v>
      </c>
      <c r="D23" s="9">
        <v>0.66666666666666596</v>
      </c>
      <c r="E23">
        <f t="shared" si="0"/>
        <v>8.6066296582387083E-2</v>
      </c>
    </row>
    <row r="24" spans="1:5" x14ac:dyDescent="0.25">
      <c r="A24" s="3" t="s">
        <v>23</v>
      </c>
      <c r="B24" s="6">
        <v>4</v>
      </c>
      <c r="C24" s="6">
        <v>5</v>
      </c>
      <c r="D24" s="6">
        <v>0.8</v>
      </c>
      <c r="E24">
        <f t="shared" si="0"/>
        <v>0.17888543819998315</v>
      </c>
    </row>
    <row r="25" spans="1:5" x14ac:dyDescent="0.25">
      <c r="A25" s="3" t="s">
        <v>24</v>
      </c>
      <c r="B25" s="6">
        <v>4</v>
      </c>
      <c r="C25" s="6">
        <v>4</v>
      </c>
      <c r="D25" s="6">
        <v>1</v>
      </c>
      <c r="E25">
        <f t="shared" si="0"/>
        <v>0</v>
      </c>
    </row>
    <row r="27" spans="1:5" x14ac:dyDescent="0.25">
      <c r="E27">
        <f>AVERAGE(E7:E23)</f>
        <v>1.8159172267407354E-2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0A230-1FC4-BD49-BBC5-4B9A412C9440}">
  <dimension ref="A1:C12"/>
  <sheetViews>
    <sheetView workbookViewId="0"/>
  </sheetViews>
  <sheetFormatPr defaultColWidth="10.875" defaultRowHeight="15.75" x14ac:dyDescent="0.25"/>
  <cols>
    <col min="1" max="1" width="44" style="1" customWidth="1"/>
    <col min="2" max="2" width="10.875" style="1"/>
    <col min="3" max="3" width="14.875" style="1" customWidth="1"/>
    <col min="4" max="16384" width="10.875" style="1"/>
  </cols>
  <sheetData>
    <row r="1" spans="1:3" x14ac:dyDescent="0.25">
      <c r="A1" s="5" t="s">
        <v>37</v>
      </c>
    </row>
    <row r="3" spans="1:3" x14ac:dyDescent="0.25">
      <c r="A3" s="5" t="s">
        <v>0</v>
      </c>
      <c r="B3" s="5" t="s">
        <v>1</v>
      </c>
      <c r="C3" s="5" t="s">
        <v>2</v>
      </c>
    </row>
    <row r="4" spans="1:3" ht="31.5" x14ac:dyDescent="0.25">
      <c r="A4" s="1" t="s">
        <v>51</v>
      </c>
      <c r="B4" s="1">
        <v>78.407489999999996</v>
      </c>
      <c r="C4" s="1">
        <v>0.50448780000000004</v>
      </c>
    </row>
    <row r="5" spans="1:3" ht="31.5" x14ac:dyDescent="0.25">
      <c r="A5" s="1" t="s">
        <v>52</v>
      </c>
      <c r="B5" s="1">
        <v>117.02589999999999</v>
      </c>
      <c r="C5" s="1">
        <v>0.76466299999999998</v>
      </c>
    </row>
    <row r="6" spans="1:3" ht="31.5" x14ac:dyDescent="0.25">
      <c r="A6" s="1" t="s">
        <v>53</v>
      </c>
      <c r="B6" s="1">
        <v>229.95939999999999</v>
      </c>
      <c r="C6" s="1">
        <v>0.490782</v>
      </c>
    </row>
    <row r="11" spans="1:3" x14ac:dyDescent="0.25">
      <c r="A11" s="1" t="s">
        <v>33</v>
      </c>
    </row>
    <row r="12" spans="1:3" ht="31.5" x14ac:dyDescent="0.25">
      <c r="A12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8C95C-8D5B-D74C-83E2-FB9B976430C7}">
  <dimension ref="A1:E43"/>
  <sheetViews>
    <sheetView workbookViewId="0">
      <selection activeCell="H7" sqref="H7"/>
    </sheetView>
  </sheetViews>
  <sheetFormatPr defaultColWidth="11" defaultRowHeight="15.75" x14ac:dyDescent="0.25"/>
  <cols>
    <col min="2" max="2" width="15.625" customWidth="1"/>
    <col min="3" max="3" width="24.625" customWidth="1"/>
    <col min="5" max="5" width="24" style="6" customWidth="1"/>
  </cols>
  <sheetData>
    <row r="1" spans="1:5" x14ac:dyDescent="0.25">
      <c r="A1" s="2" t="s">
        <v>54</v>
      </c>
    </row>
    <row r="3" spans="1:5" x14ac:dyDescent="0.25">
      <c r="A3" s="2" t="s">
        <v>25</v>
      </c>
      <c r="B3" s="2" t="s">
        <v>28</v>
      </c>
      <c r="C3" s="2" t="s">
        <v>30</v>
      </c>
      <c r="D3" s="2" t="s">
        <v>34</v>
      </c>
      <c r="E3" s="8" t="s">
        <v>31</v>
      </c>
    </row>
    <row r="4" spans="1:5" x14ac:dyDescent="0.25">
      <c r="A4" t="s">
        <v>3</v>
      </c>
      <c r="B4" t="s">
        <v>29</v>
      </c>
      <c r="C4">
        <v>0</v>
      </c>
      <c r="D4">
        <v>57</v>
      </c>
      <c r="E4" s="6">
        <v>0</v>
      </c>
    </row>
    <row r="5" spans="1:5" x14ac:dyDescent="0.25">
      <c r="A5" t="s">
        <v>4</v>
      </c>
      <c r="B5" t="s">
        <v>29</v>
      </c>
      <c r="C5">
        <v>0</v>
      </c>
      <c r="D5">
        <v>136</v>
      </c>
      <c r="E5" s="6">
        <v>0</v>
      </c>
    </row>
    <row r="6" spans="1:5" x14ac:dyDescent="0.25">
      <c r="A6" t="s">
        <v>5</v>
      </c>
      <c r="B6" t="s">
        <v>29</v>
      </c>
      <c r="C6">
        <v>1</v>
      </c>
      <c r="D6">
        <v>337</v>
      </c>
      <c r="E6" s="6">
        <v>2.9673590504451001E-3</v>
      </c>
    </row>
    <row r="7" spans="1:5" x14ac:dyDescent="0.25">
      <c r="A7" t="s">
        <v>6</v>
      </c>
      <c r="B7" t="s">
        <v>29</v>
      </c>
      <c r="C7">
        <v>0</v>
      </c>
      <c r="D7">
        <v>1038</v>
      </c>
      <c r="E7" s="6">
        <v>0</v>
      </c>
    </row>
    <row r="8" spans="1:5" x14ac:dyDescent="0.25">
      <c r="A8" t="s">
        <v>7</v>
      </c>
      <c r="B8" t="s">
        <v>29</v>
      </c>
      <c r="C8">
        <v>8</v>
      </c>
      <c r="D8">
        <v>2515</v>
      </c>
      <c r="E8" s="6">
        <v>3.1809145129224601E-3</v>
      </c>
    </row>
    <row r="9" spans="1:5" x14ac:dyDescent="0.25">
      <c r="A9" t="s">
        <v>8</v>
      </c>
      <c r="B9" t="s">
        <v>29</v>
      </c>
      <c r="C9">
        <v>18</v>
      </c>
      <c r="D9">
        <v>3499</v>
      </c>
      <c r="E9" s="6">
        <v>5.1443269505572998E-3</v>
      </c>
    </row>
    <row r="10" spans="1:5" x14ac:dyDescent="0.25">
      <c r="A10" t="s">
        <v>9</v>
      </c>
      <c r="B10" t="s">
        <v>29</v>
      </c>
      <c r="C10">
        <v>14</v>
      </c>
      <c r="D10">
        <v>2871</v>
      </c>
      <c r="E10" s="6">
        <v>4.8763497039359099E-3</v>
      </c>
    </row>
    <row r="11" spans="1:5" x14ac:dyDescent="0.25">
      <c r="A11" t="s">
        <v>10</v>
      </c>
      <c r="B11" t="s">
        <v>29</v>
      </c>
      <c r="C11">
        <v>27</v>
      </c>
      <c r="D11">
        <v>2179</v>
      </c>
      <c r="E11" s="7" t="s">
        <v>39</v>
      </c>
    </row>
    <row r="12" spans="1:5" x14ac:dyDescent="0.25">
      <c r="A12" t="s">
        <v>11</v>
      </c>
      <c r="B12" t="s">
        <v>29</v>
      </c>
      <c r="C12">
        <v>18</v>
      </c>
      <c r="D12">
        <v>1584</v>
      </c>
      <c r="E12" s="7" t="s">
        <v>40</v>
      </c>
    </row>
    <row r="13" spans="1:5" x14ac:dyDescent="0.25">
      <c r="A13" t="s">
        <v>12</v>
      </c>
      <c r="B13" t="s">
        <v>29</v>
      </c>
      <c r="C13">
        <v>24</v>
      </c>
      <c r="D13">
        <v>1250</v>
      </c>
      <c r="E13" s="6">
        <v>1.9199999999999998E-2</v>
      </c>
    </row>
    <row r="14" spans="1:5" x14ac:dyDescent="0.25">
      <c r="A14" t="s">
        <v>13</v>
      </c>
      <c r="B14" t="s">
        <v>29</v>
      </c>
      <c r="C14">
        <v>28</v>
      </c>
      <c r="D14">
        <v>1025</v>
      </c>
      <c r="E14" s="7" t="s">
        <v>41</v>
      </c>
    </row>
    <row r="15" spans="1:5" x14ac:dyDescent="0.25">
      <c r="A15" t="s">
        <v>14</v>
      </c>
      <c r="B15" t="s">
        <v>29</v>
      </c>
      <c r="C15">
        <v>20</v>
      </c>
      <c r="D15">
        <v>826</v>
      </c>
      <c r="E15" s="7" t="s">
        <v>42</v>
      </c>
    </row>
    <row r="16" spans="1:5" x14ac:dyDescent="0.25">
      <c r="A16" t="s">
        <v>15</v>
      </c>
      <c r="B16" t="s">
        <v>29</v>
      </c>
      <c r="C16">
        <v>32</v>
      </c>
      <c r="D16">
        <v>702</v>
      </c>
      <c r="E16" s="7" t="s">
        <v>43</v>
      </c>
    </row>
    <row r="17" spans="1:5" x14ac:dyDescent="0.25">
      <c r="A17" t="s">
        <v>16</v>
      </c>
      <c r="B17" t="s">
        <v>29</v>
      </c>
      <c r="C17">
        <v>31</v>
      </c>
      <c r="D17">
        <v>642</v>
      </c>
      <c r="E17" s="7" t="s">
        <v>44</v>
      </c>
    </row>
    <row r="18" spans="1:5" x14ac:dyDescent="0.25">
      <c r="A18" t="s">
        <v>17</v>
      </c>
      <c r="B18" t="s">
        <v>29</v>
      </c>
      <c r="C18">
        <v>38</v>
      </c>
      <c r="D18">
        <v>663</v>
      </c>
      <c r="E18" s="6">
        <v>5.7315233785821998E-2</v>
      </c>
    </row>
    <row r="19" spans="1:5" x14ac:dyDescent="0.25">
      <c r="A19" t="s">
        <v>18</v>
      </c>
      <c r="B19" t="s">
        <v>29</v>
      </c>
      <c r="C19">
        <v>56</v>
      </c>
      <c r="D19">
        <v>670</v>
      </c>
      <c r="E19" s="6">
        <v>8.3582089552238795E-2</v>
      </c>
    </row>
    <row r="20" spans="1:5" x14ac:dyDescent="0.25">
      <c r="A20" t="s">
        <v>19</v>
      </c>
      <c r="B20" t="s">
        <v>29</v>
      </c>
      <c r="C20">
        <v>50</v>
      </c>
      <c r="D20">
        <v>448</v>
      </c>
      <c r="E20" s="7" t="s">
        <v>45</v>
      </c>
    </row>
    <row r="21" spans="1:5" x14ac:dyDescent="0.25">
      <c r="A21" t="s">
        <v>20</v>
      </c>
      <c r="B21" t="s">
        <v>29</v>
      </c>
      <c r="C21">
        <v>33</v>
      </c>
      <c r="D21">
        <v>222</v>
      </c>
      <c r="E21" s="7" t="s">
        <v>46</v>
      </c>
    </row>
    <row r="22" spans="1:5" x14ac:dyDescent="0.25">
      <c r="A22" t="s">
        <v>21</v>
      </c>
      <c r="B22" t="s">
        <v>29</v>
      </c>
      <c r="C22">
        <v>16</v>
      </c>
      <c r="D22">
        <v>48</v>
      </c>
      <c r="E22" s="7" t="s">
        <v>47</v>
      </c>
    </row>
    <row r="24" spans="1:5" x14ac:dyDescent="0.25">
      <c r="A24" t="s">
        <v>3</v>
      </c>
      <c r="B24" t="s">
        <v>32</v>
      </c>
      <c r="C24">
        <v>0</v>
      </c>
      <c r="D24">
        <v>22</v>
      </c>
      <c r="E24" s="6">
        <v>0</v>
      </c>
    </row>
    <row r="25" spans="1:5" x14ac:dyDescent="0.25">
      <c r="A25" t="s">
        <v>4</v>
      </c>
      <c r="B25" t="s">
        <v>32</v>
      </c>
      <c r="C25">
        <v>0</v>
      </c>
      <c r="D25">
        <v>88</v>
      </c>
      <c r="E25" s="6">
        <v>0</v>
      </c>
    </row>
    <row r="26" spans="1:5" x14ac:dyDescent="0.25">
      <c r="A26" t="s">
        <v>5</v>
      </c>
      <c r="B26" t="s">
        <v>32</v>
      </c>
      <c r="C26">
        <v>0</v>
      </c>
      <c r="D26">
        <v>212</v>
      </c>
      <c r="E26" s="6">
        <v>0</v>
      </c>
    </row>
    <row r="27" spans="1:5" x14ac:dyDescent="0.25">
      <c r="A27" t="s">
        <v>6</v>
      </c>
      <c r="B27" t="s">
        <v>32</v>
      </c>
      <c r="C27">
        <v>3</v>
      </c>
      <c r="D27">
        <v>679</v>
      </c>
      <c r="E27" s="6">
        <v>4.4182621502209104E-3</v>
      </c>
    </row>
    <row r="28" spans="1:5" x14ac:dyDescent="0.25">
      <c r="A28" t="s">
        <v>7</v>
      </c>
      <c r="B28" t="s">
        <v>32</v>
      </c>
      <c r="C28">
        <v>5</v>
      </c>
      <c r="D28">
        <v>2154</v>
      </c>
      <c r="E28" s="6">
        <v>2.3212627669452102E-3</v>
      </c>
    </row>
    <row r="29" spans="1:5" x14ac:dyDescent="0.25">
      <c r="A29" t="s">
        <v>8</v>
      </c>
      <c r="B29" t="s">
        <v>32</v>
      </c>
      <c r="C29">
        <v>6</v>
      </c>
      <c r="D29">
        <v>4280</v>
      </c>
      <c r="E29" s="6">
        <v>1.4018691588785E-3</v>
      </c>
    </row>
    <row r="30" spans="1:5" x14ac:dyDescent="0.25">
      <c r="A30" t="s">
        <v>9</v>
      </c>
      <c r="B30" t="s">
        <v>32</v>
      </c>
      <c r="C30">
        <v>7</v>
      </c>
      <c r="D30">
        <v>4487</v>
      </c>
      <c r="E30" s="6">
        <v>1.5600624024960999E-3</v>
      </c>
    </row>
    <row r="31" spans="1:5" x14ac:dyDescent="0.25">
      <c r="A31" t="s">
        <v>10</v>
      </c>
      <c r="B31" t="s">
        <v>32</v>
      </c>
      <c r="C31">
        <v>8</v>
      </c>
      <c r="D31">
        <v>3550</v>
      </c>
      <c r="E31" s="6">
        <v>2.25352112676056E-3</v>
      </c>
    </row>
    <row r="32" spans="1:5" x14ac:dyDescent="0.25">
      <c r="A32" t="s">
        <v>11</v>
      </c>
      <c r="B32" t="s">
        <v>32</v>
      </c>
      <c r="C32">
        <v>6</v>
      </c>
      <c r="D32">
        <v>2492</v>
      </c>
      <c r="E32" s="6">
        <v>2.4077046548956599E-3</v>
      </c>
    </row>
    <row r="33" spans="1:5" x14ac:dyDescent="0.25">
      <c r="A33" t="s">
        <v>12</v>
      </c>
      <c r="B33" t="s">
        <v>32</v>
      </c>
      <c r="C33">
        <v>3</v>
      </c>
      <c r="D33">
        <v>1959</v>
      </c>
      <c r="E33" s="6">
        <v>1.5313935681470099E-3</v>
      </c>
    </row>
    <row r="34" spans="1:5" x14ac:dyDescent="0.25">
      <c r="A34" t="s">
        <v>13</v>
      </c>
      <c r="B34" t="s">
        <v>32</v>
      </c>
      <c r="C34">
        <v>6</v>
      </c>
      <c r="D34">
        <v>1565</v>
      </c>
      <c r="E34" s="6">
        <v>3.8338658146964801E-3</v>
      </c>
    </row>
    <row r="35" spans="1:5" x14ac:dyDescent="0.25">
      <c r="A35" t="s">
        <v>14</v>
      </c>
      <c r="B35" t="s">
        <v>32</v>
      </c>
      <c r="C35">
        <v>7</v>
      </c>
      <c r="D35">
        <v>1319</v>
      </c>
      <c r="E35" s="6">
        <v>5.3070507960576198E-3</v>
      </c>
    </row>
    <row r="36" spans="1:5" x14ac:dyDescent="0.25">
      <c r="A36" t="s">
        <v>15</v>
      </c>
      <c r="B36" t="s">
        <v>32</v>
      </c>
      <c r="C36">
        <v>7</v>
      </c>
      <c r="D36">
        <v>931</v>
      </c>
      <c r="E36" s="6">
        <v>7.5187969924812E-3</v>
      </c>
    </row>
    <row r="37" spans="1:5" x14ac:dyDescent="0.25">
      <c r="A37" t="s">
        <v>16</v>
      </c>
      <c r="B37" t="s">
        <v>32</v>
      </c>
      <c r="C37">
        <v>12</v>
      </c>
      <c r="D37">
        <v>780</v>
      </c>
      <c r="E37" s="7" t="s">
        <v>48</v>
      </c>
    </row>
    <row r="38" spans="1:5" x14ac:dyDescent="0.25">
      <c r="A38" t="s">
        <v>17</v>
      </c>
      <c r="B38" t="s">
        <v>32</v>
      </c>
      <c r="C38">
        <v>17</v>
      </c>
      <c r="D38">
        <v>632</v>
      </c>
      <c r="E38" s="6">
        <v>2.6898734177215101E-2</v>
      </c>
    </row>
    <row r="39" spans="1:5" x14ac:dyDescent="0.25">
      <c r="A39" t="s">
        <v>18</v>
      </c>
      <c r="B39" t="s">
        <v>32</v>
      </c>
      <c r="C39">
        <v>21</v>
      </c>
      <c r="D39">
        <v>497</v>
      </c>
      <c r="E39" s="6">
        <v>4.22535211267605E-2</v>
      </c>
    </row>
    <row r="40" spans="1:5" x14ac:dyDescent="0.25">
      <c r="A40" t="s">
        <v>19</v>
      </c>
      <c r="B40" t="s">
        <v>32</v>
      </c>
      <c r="C40">
        <v>11</v>
      </c>
      <c r="D40">
        <v>246</v>
      </c>
      <c r="E40" s="7" t="s">
        <v>49</v>
      </c>
    </row>
    <row r="41" spans="1:5" x14ac:dyDescent="0.25">
      <c r="A41" t="s">
        <v>20</v>
      </c>
      <c r="B41" t="s">
        <v>32</v>
      </c>
      <c r="C41">
        <v>10</v>
      </c>
      <c r="D41">
        <v>110</v>
      </c>
      <c r="E41" s="6">
        <v>9.0909090909090898E-2</v>
      </c>
    </row>
    <row r="42" spans="1:5" x14ac:dyDescent="0.25">
      <c r="A42" t="s">
        <v>21</v>
      </c>
      <c r="B42" t="s">
        <v>32</v>
      </c>
      <c r="C42">
        <v>3</v>
      </c>
      <c r="D42">
        <v>27</v>
      </c>
      <c r="E42" s="7" t="s">
        <v>50</v>
      </c>
    </row>
    <row r="43" spans="1:5" x14ac:dyDescent="0.25">
      <c r="A43" t="s">
        <v>22</v>
      </c>
      <c r="B43" t="s">
        <v>32</v>
      </c>
      <c r="C43">
        <v>1</v>
      </c>
      <c r="D43">
        <v>10</v>
      </c>
      <c r="E43" s="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Proportion pulmonary</vt:lpstr>
      <vt:lpstr>Time-based params</vt:lpstr>
      <vt:lpstr>Case fatality rates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Snoad</dc:creator>
  <cp:lastModifiedBy>Juan Vesga</cp:lastModifiedBy>
  <dcterms:created xsi:type="dcterms:W3CDTF">2025-05-12T12:17:42Z</dcterms:created>
  <dcterms:modified xsi:type="dcterms:W3CDTF">2025-06-04T10:27:28Z</dcterms:modified>
</cp:coreProperties>
</file>